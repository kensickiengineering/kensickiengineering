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aykensicki/Desktop/Hot Oil Calculations/"/>
    </mc:Choice>
  </mc:AlternateContent>
  <xr:revisionPtr revIDLastSave="0" documentId="8_{78C19CAA-F82E-A942-84F6-A4AA2BBCA4D6}" xr6:coauthVersionLast="47" xr6:coauthVersionMax="47" xr10:uidLastSave="{00000000-0000-0000-0000-000000000000}"/>
  <bookViews>
    <workbookView xWindow="380" yWindow="500" windowWidth="28420" windowHeight="16260" xr2:uid="{1729A321-30B9-034B-8A05-1EC95F7C545D}"/>
  </bookViews>
  <sheets>
    <sheet name="Instructions" sheetId="6" r:id="rId1"/>
    <sheet name="Fluid Properties" sheetId="1" r:id="rId2"/>
    <sheet name="Pump Head" sheetId="2" r:id="rId3"/>
    <sheet name="Suction Parameters" sheetId="3" r:id="rId4"/>
    <sheet name="Discharge Analysis" sheetId="4" r:id="rId5"/>
    <sheet name="Control Valve Results" sheetId="7" r:id="rId6"/>
    <sheet name="Tables" sheetId="5" r:id="rId7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" l="1"/>
  <c r="G13" i="2"/>
  <c r="G14" i="2" s="1"/>
  <c r="G8" i="2"/>
  <c r="G9" i="2" s="1"/>
  <c r="G12" i="2"/>
  <c r="J3" i="5" l="1"/>
  <c r="G10" i="2"/>
  <c r="C8" i="2" s="1"/>
  <c r="C9" i="2" s="1"/>
  <c r="C13" i="1" l="1"/>
  <c r="C12" i="1"/>
  <c r="C4" i="4" s="1"/>
  <c r="C11" i="1"/>
  <c r="K7" i="2" l="1"/>
  <c r="C10" i="2"/>
  <c r="C11" i="2" s="1"/>
  <c r="C16" i="1"/>
  <c r="G11" i="2" l="1"/>
  <c r="J4" i="5" s="1"/>
  <c r="J5" i="5" s="1"/>
  <c r="G15" i="2" s="1"/>
  <c r="K6" i="2"/>
  <c r="K8" i="2" s="1"/>
  <c r="G16" i="2" l="1"/>
  <c r="C21" i="2" s="1"/>
  <c r="C4" i="7" s="1"/>
  <c r="C5" i="7" s="1"/>
  <c r="C6" i="7" s="1"/>
  <c r="C7" i="3"/>
  <c r="C8" i="3" s="1"/>
  <c r="C10" i="3" l="1"/>
  <c r="C9" i="3"/>
  <c r="C5" i="4" s="1"/>
  <c r="C6" i="4" s="1"/>
</calcChain>
</file>

<file path=xl/sharedStrings.xml><?xml version="1.0" encoding="utf-8"?>
<sst xmlns="http://schemas.openxmlformats.org/spreadsheetml/2006/main" count="161" uniqueCount="97">
  <si>
    <t>Fluid</t>
  </si>
  <si>
    <t>Temperature</t>
  </si>
  <si>
    <t>Assume uniform temperature for this excel (insulated pipe)</t>
  </si>
  <si>
    <t>Parameter</t>
  </si>
  <si>
    <t>Value</t>
  </si>
  <si>
    <t>Units</t>
  </si>
  <si>
    <t>Gravity</t>
  </si>
  <si>
    <t>Density</t>
  </si>
  <si>
    <t>deg F</t>
  </si>
  <si>
    <t>lbm/ft^3</t>
  </si>
  <si>
    <t>Viscosity</t>
  </si>
  <si>
    <t>cP</t>
  </si>
  <si>
    <t>Volumetric FR</t>
  </si>
  <si>
    <t>GPM</t>
  </si>
  <si>
    <t>Constants</t>
  </si>
  <si>
    <t>ft/s^2</t>
  </si>
  <si>
    <t>lbm/(ft*s)</t>
  </si>
  <si>
    <t>Spec. Gravity</t>
  </si>
  <si>
    <t>Ensure that the density is correct at the desired temperature</t>
  </si>
  <si>
    <t>Also ensure that the viscosity is correct at the desired temperature</t>
  </si>
  <si>
    <t>Q</t>
  </si>
  <si>
    <t>ft^3/s</t>
  </si>
  <si>
    <t>Initial Location (i)</t>
  </si>
  <si>
    <t>ft</t>
  </si>
  <si>
    <t>Velocity (i)</t>
  </si>
  <si>
    <t>ft/s</t>
  </si>
  <si>
    <t>Pressure (i)</t>
  </si>
  <si>
    <t>Pipe Information</t>
  </si>
  <si>
    <t>Final Location (f)</t>
  </si>
  <si>
    <t>Elevation (i)</t>
  </si>
  <si>
    <t>Elevation (f)</t>
  </si>
  <si>
    <t>Pressure (f)</t>
  </si>
  <si>
    <t>Pipe Size</t>
  </si>
  <si>
    <t>in</t>
  </si>
  <si>
    <t>Pipe Internal Diameter</t>
  </si>
  <si>
    <t>Area</t>
  </si>
  <si>
    <t>Total pipe length</t>
  </si>
  <si>
    <t>Total 90 deg elbows</t>
  </si>
  <si>
    <t>ft^2</t>
  </si>
  <si>
    <t>Mat. Roughness</t>
  </si>
  <si>
    <t>mm</t>
  </si>
  <si>
    <t>Reynold's Number</t>
  </si>
  <si>
    <t>Unit Mod.</t>
  </si>
  <si>
    <t xml:space="preserve">Value </t>
  </si>
  <si>
    <t>Velocity</t>
  </si>
  <si>
    <t>Roughness</t>
  </si>
  <si>
    <t>Q (i)</t>
  </si>
  <si>
    <t>gpm</t>
  </si>
  <si>
    <t>Diameter (in)</t>
  </si>
  <si>
    <t>External</t>
  </si>
  <si>
    <t>Internal</t>
  </si>
  <si>
    <t>1 ¼</t>
  </si>
  <si>
    <t>1 ½</t>
  </si>
  <si>
    <t>2 ½</t>
  </si>
  <si>
    <t>3 ½</t>
  </si>
  <si>
    <t>Source: engineering toolbox</t>
  </si>
  <si>
    <t>90 deg K factor</t>
  </si>
  <si>
    <t>K</t>
  </si>
  <si>
    <t>Sigma K</t>
  </si>
  <si>
    <t>Result</t>
  </si>
  <si>
    <t>Req. Pump Head</t>
  </si>
  <si>
    <t>1. For this entire spreadsheet, only edit yellow highlighted boxes, unless necessary.</t>
  </si>
  <si>
    <t>3. Use "pump head" to size the pump and pipe.</t>
  </si>
  <si>
    <t>2. Begin by filling out "fluid properties" based on the fluid to be contained within the piping.</t>
  </si>
  <si>
    <t>4. Fill in "suction parameters" and "discharge analysis." Then view "results" tab to see control valve fitting result.</t>
  </si>
  <si>
    <t>f1</t>
  </si>
  <si>
    <t>f2</t>
  </si>
  <si>
    <t>f</t>
  </si>
  <si>
    <t>Friction Head</t>
  </si>
  <si>
    <t>If flow is neither laminar nor turbulent, this will be incorrect</t>
  </si>
  <si>
    <t>Velocity Head</t>
  </si>
  <si>
    <t>Pressure Head</t>
  </si>
  <si>
    <t>Total Head (i)</t>
  </si>
  <si>
    <t>Total Head (f)</t>
  </si>
  <si>
    <t>Piping to Suction</t>
  </si>
  <si>
    <t>Length of pipe to inlet</t>
  </si>
  <si>
    <t># Elbows to Suction</t>
  </si>
  <si>
    <t>Pump Head</t>
  </si>
  <si>
    <t>From chosen pump</t>
  </si>
  <si>
    <t>CV Head Req</t>
  </si>
  <si>
    <t>f Intermediate Calcs</t>
  </si>
  <si>
    <t>psig</t>
  </si>
  <si>
    <t>Pump Eye Elevation</t>
  </si>
  <si>
    <t>Pressure (eye)</t>
  </si>
  <si>
    <t>Ensure the pressure at the eye is less than the vapor pressure of fluid</t>
  </si>
  <si>
    <t>Q (i) = 0 if originates in static tank</t>
  </si>
  <si>
    <t>Dis. Pressure</t>
  </si>
  <si>
    <t>CV Results</t>
  </si>
  <si>
    <t>Pressure Drop</t>
  </si>
  <si>
    <t>Cv req</t>
  </si>
  <si>
    <t>w/o control valve</t>
  </si>
  <si>
    <t>w/ control valve</t>
  </si>
  <si>
    <t>Dis. Head</t>
  </si>
  <si>
    <t>Head eye</t>
  </si>
  <si>
    <t>Choose a control valve that can produce this Cv</t>
  </si>
  <si>
    <t>NPSH</t>
  </si>
  <si>
    <t>Disclaimer: While providing a good estimate of many situations, this tool is not perfect and is purely an academic project.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</si>
</sst>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ptos Narrow"/>
      <family val="2"/>
      <scheme val="minor"/>
    </font>
    <font>
      <i/>
      <sz val="12"/>
      <color rgb="FFC00000"/>
      <name val="Aptos Narrow"/>
      <scheme val="minor"/>
    </font>
    <font>
      <sz val="12"/>
      <color rgb="FFC0000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8.8000000000000007"/>
      <color rgb="FF000000"/>
      <name val="Arial"/>
      <family val="2"/>
    </font>
    <font>
      <b/>
      <i/>
      <sz val="8.8000000000000007"/>
      <color rgb="FF000000"/>
      <name val="Arial"/>
      <family val="2"/>
    </font>
    <font>
      <sz val="8.8000000000000007"/>
      <color rgb="FF000000"/>
      <name val="Arial"/>
      <family val="2"/>
    </font>
    <font>
      <sz val="12"/>
      <color rgb="FFC00000"/>
      <name val="Aptos Narrow (Body)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0C0C0"/>
      </left>
      <right style="medium">
        <color rgb="FFC0C0C0"/>
      </right>
      <top style="medium">
        <color rgb="FFC0C0C0"/>
      </top>
      <bottom/>
      <diagonal/>
    </border>
    <border>
      <left style="medium">
        <color rgb="FFC0C0C0"/>
      </left>
      <right style="medium">
        <color rgb="FFC0C0C0"/>
      </right>
      <top/>
      <bottom style="medium">
        <color rgb="FFC0C0C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rgb="FFC0C0C0"/>
      </right>
      <top style="medium">
        <color indexed="64"/>
      </top>
      <bottom/>
      <diagonal/>
    </border>
    <border>
      <left style="medium">
        <color indexed="64"/>
      </left>
      <right style="medium">
        <color rgb="FFC0C0C0"/>
      </right>
      <top/>
      <bottom style="medium">
        <color rgb="FFC0C0C0"/>
      </bottom>
      <diagonal/>
    </border>
    <border>
      <left style="medium">
        <color rgb="FFC0C0C0"/>
      </left>
      <right style="medium">
        <color indexed="64"/>
      </right>
      <top/>
      <bottom style="medium">
        <color rgb="FFC0C0C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medium">
        <color rgb="FFC0C0C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rgb="FFC0C0C0"/>
      </right>
      <top/>
      <bottom/>
      <diagonal/>
    </border>
    <border>
      <left style="medium">
        <color rgb="FFC0C0C0"/>
      </left>
      <right style="medium">
        <color indexed="64"/>
      </right>
      <top style="medium">
        <color rgb="FFC0C0C0"/>
      </top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0" fillId="2" borderId="0" xfId="0" applyFill="1"/>
    <xf numFmtId="0" fontId="0" fillId="2" borderId="4" xfId="0" applyFill="1" applyBorder="1"/>
    <xf numFmtId="0" fontId="0" fillId="3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7" xfId="0" applyFill="1" applyBorder="1"/>
    <xf numFmtId="0" fontId="0" fillId="2" borderId="8" xfId="0" applyFill="1" applyBorder="1"/>
    <xf numFmtId="0" fontId="0" fillId="2" borderId="0" xfId="0" applyFill="1" applyBorder="1"/>
    <xf numFmtId="0" fontId="2" fillId="0" borderId="0" xfId="0" applyFont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2" borderId="7" xfId="0" applyFill="1" applyBorder="1"/>
    <xf numFmtId="0" fontId="0" fillId="0" borderId="0" xfId="0" applyFill="1"/>
    <xf numFmtId="0" fontId="0" fillId="5" borderId="0" xfId="0" applyFill="1" applyBorder="1"/>
    <xf numFmtId="0" fontId="4" fillId="6" borderId="9" xfId="0" applyFont="1" applyFill="1" applyBorder="1" applyAlignment="1">
      <alignment horizontal="center" vertical="center" wrapText="1"/>
    </xf>
    <xf numFmtId="0" fontId="4" fillId="6" borderId="10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0" fillId="5" borderId="1" xfId="0" applyFont="1" applyFill="1" applyBorder="1"/>
    <xf numFmtId="0" fontId="0" fillId="5" borderId="3" xfId="0" applyFill="1" applyBorder="1"/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 wrapText="1"/>
    </xf>
    <xf numFmtId="0" fontId="4" fillId="6" borderId="14" xfId="0" applyFont="1" applyFill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 wrapText="1"/>
    </xf>
    <xf numFmtId="0" fontId="6" fillId="2" borderId="18" xfId="0" applyFont="1" applyFill="1" applyBorder="1" applyAlignment="1">
      <alignment horizontal="center" vertical="center" wrapText="1"/>
    </xf>
    <xf numFmtId="0" fontId="6" fillId="2" borderId="19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 wrapText="1"/>
    </xf>
    <xf numFmtId="0" fontId="4" fillId="6" borderId="20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5" fillId="6" borderId="21" xfId="0" applyFont="1" applyFill="1" applyBorder="1" applyAlignment="1">
      <alignment horizontal="center" vertical="center" wrapText="1"/>
    </xf>
    <xf numFmtId="0" fontId="4" fillId="6" borderId="22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/>
    <xf numFmtId="0" fontId="0" fillId="5" borderId="2" xfId="0" applyFill="1" applyBorder="1"/>
    <xf numFmtId="0" fontId="2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7" borderId="0" xfId="0" applyFill="1"/>
    <xf numFmtId="0" fontId="0" fillId="0" borderId="7" xfId="0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5" borderId="4" xfId="0" applyFill="1" applyBorder="1"/>
    <xf numFmtId="0" fontId="0" fillId="5" borderId="5" xfId="0" applyFill="1" applyBorder="1"/>
    <xf numFmtId="0" fontId="0" fillId="0" borderId="5" xfId="0" applyBorder="1"/>
    <xf numFmtId="0" fontId="0" fillId="0" borderId="0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3" fillId="0" borderId="0" xfId="0" applyFont="1" applyFill="1" applyBorder="1" applyAlignment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8" borderId="4" xfId="0" applyFill="1" applyBorder="1"/>
    <xf numFmtId="0" fontId="0" fillId="8" borderId="0" xfId="0" applyFill="1" applyBorder="1"/>
    <xf numFmtId="0" fontId="0" fillId="8" borderId="5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444500</xdr:colOff>
      <xdr:row>11</xdr:row>
      <xdr:rowOff>38100</xdr:rowOff>
    </xdr:from>
    <xdr:to>
      <xdr:col>4</xdr:col>
      <xdr:colOff>266700</xdr:colOff>
      <xdr:row>15</xdr:row>
      <xdr:rowOff>139700</xdr:rowOff>
    </xdr:to>
    <xdr:sp macro="[0]!Reset" textlink="">
      <xdr:nvSpPr>
        <xdr:cNvPr id="2" name="Rounded Rectangle 1">
          <a:extLst>
            <a:ext uri="{FF2B5EF4-FFF2-40B4-BE49-F238E27FC236}">
              <a16:creationId xmlns:a16="http://schemas.microsoft.com/office/drawing/2014/main" id="{95C99D1A-34F5-3B87-BCFE-CBF1835112F4}"/>
            </a:ext>
          </a:extLst>
        </xdr:cNvPr>
        <xdr:cNvSpPr/>
      </xdr:nvSpPr>
      <xdr:spPr>
        <a:xfrm>
          <a:off x="444500" y="2298700"/>
          <a:ext cx="3251200" cy="9144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Click Here To Reset</a:t>
          </a:r>
          <a:r>
            <a:rPr lang="en-US" sz="1800" baseline="0"/>
            <a:t> The Sheet. This clears your data!!</a:t>
          </a:r>
          <a:endParaRPr 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96571-B9D6-0B43-88C1-AA09DF6AE92B}">
  <dimension ref="B2:L9"/>
  <sheetViews>
    <sheetView tabSelected="1" workbookViewId="0">
      <selection activeCell="F18" sqref="F18"/>
    </sheetView>
  </sheetViews>
  <sheetFormatPr baseColWidth="10" defaultRowHeight="16" x14ac:dyDescent="0.2"/>
  <sheetData>
    <row r="2" spans="2:12" ht="17" thickBot="1" x14ac:dyDescent="0.25"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</row>
    <row r="3" spans="2:12" x14ac:dyDescent="0.2">
      <c r="B3" s="54"/>
      <c r="C3" s="42" t="s">
        <v>61</v>
      </c>
      <c r="D3" s="43"/>
      <c r="E3" s="43"/>
      <c r="F3" s="43"/>
      <c r="G3" s="43"/>
      <c r="H3" s="43"/>
      <c r="I3" s="43"/>
      <c r="J3" s="43"/>
      <c r="K3" s="44"/>
      <c r="L3" s="54"/>
    </row>
    <row r="4" spans="2:12" x14ac:dyDescent="0.2">
      <c r="B4" s="54"/>
      <c r="C4" s="45" t="s">
        <v>63</v>
      </c>
      <c r="D4" s="46"/>
      <c r="E4" s="46"/>
      <c r="F4" s="46"/>
      <c r="G4" s="46"/>
      <c r="H4" s="46"/>
      <c r="I4" s="46"/>
      <c r="J4" s="46"/>
      <c r="K4" s="47"/>
      <c r="L4" s="54"/>
    </row>
    <row r="5" spans="2:12" x14ac:dyDescent="0.2">
      <c r="B5" s="54"/>
      <c r="C5" s="48" t="s">
        <v>62</v>
      </c>
      <c r="D5" s="49"/>
      <c r="E5" s="49"/>
      <c r="F5" s="49"/>
      <c r="G5" s="49"/>
      <c r="H5" s="49"/>
      <c r="I5" s="49"/>
      <c r="J5" s="49"/>
      <c r="K5" s="50"/>
      <c r="L5" s="54"/>
    </row>
    <row r="6" spans="2:12" ht="17" thickBot="1" x14ac:dyDescent="0.25">
      <c r="B6" s="54"/>
      <c r="C6" s="51" t="s">
        <v>64</v>
      </c>
      <c r="D6" s="52"/>
      <c r="E6" s="52"/>
      <c r="F6" s="52"/>
      <c r="G6" s="52"/>
      <c r="H6" s="52"/>
      <c r="I6" s="52"/>
      <c r="J6" s="52"/>
      <c r="K6" s="53"/>
      <c r="L6" s="54"/>
    </row>
    <row r="7" spans="2:12" x14ac:dyDescent="0.2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</row>
    <row r="9" spans="2:12" x14ac:dyDescent="0.2">
      <c r="C9" s="1" t="s">
        <v>96</v>
      </c>
    </row>
  </sheetData>
  <mergeCells count="4">
    <mergeCell ref="C3:K3"/>
    <mergeCell ref="C4:K4"/>
    <mergeCell ref="C5:K5"/>
    <mergeCell ref="C6:K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5390E-86AB-E544-A3A0-AE2BCDCB92F7}">
  <dimension ref="B1:E17"/>
  <sheetViews>
    <sheetView workbookViewId="0">
      <selection activeCell="F13" sqref="F13"/>
    </sheetView>
  </sheetViews>
  <sheetFormatPr baseColWidth="10" defaultRowHeight="16" x14ac:dyDescent="0.2"/>
  <cols>
    <col min="2" max="2" width="12.33203125" customWidth="1"/>
    <col min="3" max="3" width="11.5" customWidth="1"/>
  </cols>
  <sheetData>
    <row r="1" spans="2:5" ht="17" thickBot="1" x14ac:dyDescent="0.25">
      <c r="B1" s="2"/>
      <c r="C1" s="2"/>
      <c r="D1" s="2"/>
    </row>
    <row r="2" spans="2:5" x14ac:dyDescent="0.2">
      <c r="B2" s="11" t="s">
        <v>3</v>
      </c>
      <c r="C2" s="12" t="s">
        <v>4</v>
      </c>
      <c r="D2" s="13" t="s">
        <v>5</v>
      </c>
    </row>
    <row r="3" spans="2:5" x14ac:dyDescent="0.2">
      <c r="B3" s="3" t="s">
        <v>0</v>
      </c>
      <c r="C3" s="4"/>
      <c r="D3" s="5"/>
    </row>
    <row r="4" spans="2:5" x14ac:dyDescent="0.2">
      <c r="B4" s="3" t="s">
        <v>1</v>
      </c>
      <c r="C4" s="4"/>
      <c r="D4" s="5" t="s">
        <v>8</v>
      </c>
      <c r="E4" s="1" t="s">
        <v>2</v>
      </c>
    </row>
    <row r="5" spans="2:5" x14ac:dyDescent="0.2">
      <c r="B5" s="3" t="s">
        <v>7</v>
      </c>
      <c r="C5" s="4"/>
      <c r="D5" s="5" t="s">
        <v>9</v>
      </c>
      <c r="E5" s="1" t="s">
        <v>18</v>
      </c>
    </row>
    <row r="6" spans="2:5" x14ac:dyDescent="0.2">
      <c r="B6" s="3" t="s">
        <v>10</v>
      </c>
      <c r="C6" s="4"/>
      <c r="D6" s="5" t="s">
        <v>11</v>
      </c>
      <c r="E6" s="1" t="s">
        <v>19</v>
      </c>
    </row>
    <row r="7" spans="2:5" ht="17" thickBot="1" x14ac:dyDescent="0.25">
      <c r="B7" s="6" t="s">
        <v>12</v>
      </c>
      <c r="C7" s="7"/>
      <c r="D7" s="8" t="s">
        <v>13</v>
      </c>
    </row>
    <row r="8" spans="2:5" ht="17" thickBot="1" x14ac:dyDescent="0.25">
      <c r="B8" s="2"/>
      <c r="C8" s="2"/>
      <c r="D8" s="2"/>
    </row>
    <row r="9" spans="2:5" x14ac:dyDescent="0.2">
      <c r="B9" s="11" t="s">
        <v>14</v>
      </c>
      <c r="C9" s="12" t="s">
        <v>4</v>
      </c>
      <c r="D9" s="13" t="s">
        <v>5</v>
      </c>
    </row>
    <row r="10" spans="2:5" x14ac:dyDescent="0.2">
      <c r="B10" s="3" t="s">
        <v>6</v>
      </c>
      <c r="C10" s="9">
        <v>32.200000000000003</v>
      </c>
      <c r="D10" s="5" t="s">
        <v>15</v>
      </c>
    </row>
    <row r="11" spans="2:5" x14ac:dyDescent="0.2">
      <c r="B11" s="3" t="s">
        <v>10</v>
      </c>
      <c r="C11" s="9">
        <f>$C$6*0.000671968994813</f>
        <v>0</v>
      </c>
      <c r="D11" s="5" t="s">
        <v>16</v>
      </c>
    </row>
    <row r="12" spans="2:5" x14ac:dyDescent="0.2">
      <c r="B12" s="3" t="s">
        <v>17</v>
      </c>
      <c r="C12" s="9">
        <f>C5/62.4</f>
        <v>0</v>
      </c>
      <c r="D12" s="5"/>
    </row>
    <row r="13" spans="2:5" ht="17" thickBot="1" x14ac:dyDescent="0.25">
      <c r="B13" s="6" t="s">
        <v>20</v>
      </c>
      <c r="C13" s="14">
        <f>C7/(60*7.48)</f>
        <v>0</v>
      </c>
      <c r="D13" s="8" t="s">
        <v>21</v>
      </c>
    </row>
    <row r="14" spans="2:5" ht="17" thickBot="1" x14ac:dyDescent="0.25">
      <c r="B14" s="2"/>
      <c r="C14" s="2"/>
      <c r="D14" s="2"/>
    </row>
    <row r="15" spans="2:5" x14ac:dyDescent="0.2">
      <c r="B15" s="39" t="s">
        <v>42</v>
      </c>
      <c r="C15" s="40" t="s">
        <v>43</v>
      </c>
      <c r="D15" s="21" t="s">
        <v>5</v>
      </c>
    </row>
    <row r="16" spans="2:5" ht="17" thickBot="1" x14ac:dyDescent="0.25">
      <c r="B16" s="6" t="s">
        <v>44</v>
      </c>
      <c r="C16" s="55" t="e">
        <f>C13/'Pump Head'!G10</f>
        <v>#DIV/0!</v>
      </c>
      <c r="D16" s="8" t="s">
        <v>25</v>
      </c>
    </row>
    <row r="17" spans="2:4" x14ac:dyDescent="0.2">
      <c r="B17" s="2"/>
      <c r="C17" s="2"/>
      <c r="D17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57D93-008E-594A-8C14-32D9E445A8E4}">
  <dimension ref="A1:P21"/>
  <sheetViews>
    <sheetView workbookViewId="0">
      <selection activeCell="E24" sqref="E24"/>
    </sheetView>
  </sheetViews>
  <sheetFormatPr baseColWidth="10" defaultRowHeight="16" x14ac:dyDescent="0.2"/>
  <cols>
    <col min="1" max="1" width="28" customWidth="1"/>
    <col min="2" max="2" width="14" customWidth="1"/>
    <col min="5" max="5" width="13.5" customWidth="1"/>
    <col min="6" max="6" width="18.83203125" customWidth="1"/>
    <col min="10" max="10" width="12.6640625" customWidth="1"/>
    <col min="14" max="14" width="14" customWidth="1"/>
  </cols>
  <sheetData>
    <row r="1" spans="1:16" ht="17" thickBot="1" x14ac:dyDescent="0.25"/>
    <row r="2" spans="1:16" x14ac:dyDescent="0.2">
      <c r="B2" s="56" t="s">
        <v>22</v>
      </c>
      <c r="C2" s="57"/>
      <c r="D2" s="58"/>
      <c r="F2" s="56" t="s">
        <v>27</v>
      </c>
      <c r="G2" s="57"/>
      <c r="H2" s="58"/>
      <c r="J2" s="56" t="s">
        <v>28</v>
      </c>
      <c r="K2" s="57"/>
      <c r="L2" s="58"/>
      <c r="N2" s="66"/>
      <c r="O2" s="66"/>
      <c r="P2" s="66"/>
    </row>
    <row r="3" spans="1:16" x14ac:dyDescent="0.2">
      <c r="B3" s="59" t="s">
        <v>3</v>
      </c>
      <c r="C3" s="16" t="s">
        <v>4</v>
      </c>
      <c r="D3" s="60" t="s">
        <v>5</v>
      </c>
      <c r="F3" s="59" t="s">
        <v>3</v>
      </c>
      <c r="G3" s="16" t="s">
        <v>4</v>
      </c>
      <c r="H3" s="60" t="s">
        <v>5</v>
      </c>
      <c r="J3" s="59" t="s">
        <v>3</v>
      </c>
      <c r="K3" s="16" t="s">
        <v>4</v>
      </c>
      <c r="L3" s="60" t="s">
        <v>5</v>
      </c>
      <c r="N3" s="62"/>
      <c r="O3" s="62"/>
      <c r="P3" s="62"/>
    </row>
    <row r="4" spans="1:16" x14ac:dyDescent="0.2">
      <c r="B4" s="3" t="s">
        <v>29</v>
      </c>
      <c r="C4" s="4"/>
      <c r="D4" s="5" t="s">
        <v>23</v>
      </c>
      <c r="F4" s="3" t="s">
        <v>32</v>
      </c>
      <c r="G4" s="4"/>
      <c r="H4" s="5" t="s">
        <v>33</v>
      </c>
      <c r="J4" s="3" t="s">
        <v>30</v>
      </c>
      <c r="K4" s="4"/>
      <c r="L4" s="5" t="s">
        <v>23</v>
      </c>
      <c r="N4" s="62"/>
      <c r="O4" s="62"/>
      <c r="P4" s="62"/>
    </row>
    <row r="5" spans="1:16" x14ac:dyDescent="0.2">
      <c r="B5" s="3" t="s">
        <v>26</v>
      </c>
      <c r="C5" s="4"/>
      <c r="D5" s="5" t="s">
        <v>81</v>
      </c>
      <c r="F5" s="3" t="s">
        <v>36</v>
      </c>
      <c r="G5" s="4"/>
      <c r="H5" s="5" t="s">
        <v>23</v>
      </c>
      <c r="J5" s="3" t="s">
        <v>31</v>
      </c>
      <c r="K5" s="4"/>
      <c r="L5" s="5" t="s">
        <v>81</v>
      </c>
    </row>
    <row r="6" spans="1:16" x14ac:dyDescent="0.2">
      <c r="A6" s="10" t="s">
        <v>85</v>
      </c>
      <c r="B6" s="3" t="s">
        <v>46</v>
      </c>
      <c r="C6" s="4"/>
      <c r="D6" s="5" t="s">
        <v>47</v>
      </c>
      <c r="E6" s="10"/>
      <c r="F6" s="3" t="s">
        <v>37</v>
      </c>
      <c r="G6" s="4"/>
      <c r="H6" s="5"/>
      <c r="J6" s="3" t="s">
        <v>70</v>
      </c>
      <c r="K6" s="9" t="e">
        <f>('Fluid Properties'!C16^2)/(2*'Fluid Properties'!C10)</f>
        <v>#DIV/0!</v>
      </c>
      <c r="L6" s="5" t="s">
        <v>23</v>
      </c>
    </row>
    <row r="7" spans="1:16" x14ac:dyDescent="0.2">
      <c r="B7" s="3" t="s">
        <v>46</v>
      </c>
      <c r="C7" s="9">
        <f>C6/(60*7.48)</f>
        <v>0</v>
      </c>
      <c r="D7" s="5" t="s">
        <v>21</v>
      </c>
      <c r="F7" s="3" t="s">
        <v>39</v>
      </c>
      <c r="G7" s="4"/>
      <c r="H7" s="5" t="s">
        <v>40</v>
      </c>
      <c r="J7" s="3" t="s">
        <v>71</v>
      </c>
      <c r="K7" s="9" t="e">
        <f>(2.3*K5)/'Fluid Properties'!C12</f>
        <v>#DIV/0!</v>
      </c>
      <c r="L7" s="5" t="s">
        <v>23</v>
      </c>
    </row>
    <row r="8" spans="1:16" ht="17" thickBot="1" x14ac:dyDescent="0.25">
      <c r="B8" s="3" t="s">
        <v>24</v>
      </c>
      <c r="C8" s="9" t="e">
        <f>C7/G10</f>
        <v>#DIV/0!</v>
      </c>
      <c r="D8" s="5" t="s">
        <v>25</v>
      </c>
      <c r="F8" s="3" t="s">
        <v>34</v>
      </c>
      <c r="G8" s="9">
        <f>_xlfn.XLOOKUP(G4,Tables!B5:B12,Tables!D5:D12,0)</f>
        <v>0</v>
      </c>
      <c r="H8" s="5" t="s">
        <v>33</v>
      </c>
      <c r="J8" s="63" t="s">
        <v>73</v>
      </c>
      <c r="K8" s="64" t="e">
        <f>K4+K6+K7</f>
        <v>#DIV/0!</v>
      </c>
      <c r="L8" s="65" t="s">
        <v>23</v>
      </c>
    </row>
    <row r="9" spans="1:16" x14ac:dyDescent="0.2">
      <c r="B9" s="3" t="s">
        <v>70</v>
      </c>
      <c r="C9" s="9" t="e">
        <f>(C8^2)/(2*'Fluid Properties'!C10)</f>
        <v>#DIV/0!</v>
      </c>
      <c r="D9" s="5" t="s">
        <v>23</v>
      </c>
      <c r="F9" s="3" t="s">
        <v>34</v>
      </c>
      <c r="G9" s="9">
        <f>G8/12</f>
        <v>0</v>
      </c>
      <c r="H9" s="5" t="s">
        <v>23</v>
      </c>
      <c r="K9" s="15"/>
    </row>
    <row r="10" spans="1:16" x14ac:dyDescent="0.2">
      <c r="B10" s="3" t="s">
        <v>71</v>
      </c>
      <c r="C10" s="9" t="e">
        <f>(2.3*C5)/'Fluid Properties'!C12</f>
        <v>#DIV/0!</v>
      </c>
      <c r="D10" s="5" t="s">
        <v>23</v>
      </c>
      <c r="F10" s="3" t="s">
        <v>35</v>
      </c>
      <c r="G10" s="9">
        <f>(3.14*G9^2)/4</f>
        <v>0</v>
      </c>
      <c r="H10" s="5" t="s">
        <v>38</v>
      </c>
    </row>
    <row r="11" spans="1:16" ht="17" thickBot="1" x14ac:dyDescent="0.25">
      <c r="B11" s="63" t="s">
        <v>72</v>
      </c>
      <c r="C11" s="64" t="e">
        <f>C4+C9+C10</f>
        <v>#DIV/0!</v>
      </c>
      <c r="D11" s="65" t="s">
        <v>23</v>
      </c>
      <c r="F11" s="3" t="s">
        <v>41</v>
      </c>
      <c r="G11" s="9" t="e">
        <f>(G9*'Fluid Properties'!C5*'Fluid Properties'!C16)/'Fluid Properties'!C11</f>
        <v>#DIV/0!</v>
      </c>
      <c r="H11" s="5"/>
    </row>
    <row r="12" spans="1:16" x14ac:dyDescent="0.2">
      <c r="F12" s="3" t="s">
        <v>45</v>
      </c>
      <c r="G12" s="9">
        <f>G7/304.8</f>
        <v>0</v>
      </c>
      <c r="H12" s="5" t="s">
        <v>23</v>
      </c>
    </row>
    <row r="13" spans="1:16" x14ac:dyDescent="0.2">
      <c r="F13" s="3" t="s">
        <v>57</v>
      </c>
      <c r="G13" s="9">
        <f>_xlfn.XLOOKUP(G4,Tables!F3:F9,Tables!G3:G9,0)</f>
        <v>0</v>
      </c>
      <c r="H13" s="5"/>
    </row>
    <row r="14" spans="1:16" x14ac:dyDescent="0.2">
      <c r="F14" s="3" t="s">
        <v>58</v>
      </c>
      <c r="G14" s="9">
        <f>G13*G6</f>
        <v>0</v>
      </c>
      <c r="H14" s="5"/>
    </row>
    <row r="15" spans="1:16" x14ac:dyDescent="0.2">
      <c r="A15" s="41"/>
      <c r="B15" s="41" t="s">
        <v>69</v>
      </c>
      <c r="E15" s="10"/>
      <c r="F15" s="3" t="s">
        <v>67</v>
      </c>
      <c r="G15" s="9" t="e">
        <f>IF(G11&gt;4000,Tables!J5,0)+IF('Pump Head'!G11&lt;2300,64/'Pump Head'!G11,0)</f>
        <v>#DIV/0!</v>
      </c>
      <c r="H15" s="5"/>
    </row>
    <row r="16" spans="1:16" ht="17" thickBot="1" x14ac:dyDescent="0.25">
      <c r="F16" s="6" t="s">
        <v>68</v>
      </c>
      <c r="G16" s="14" t="e">
        <f>((G14+((G15*G5)/G9))*'Fluid Properties'!C16^2)/(2*'Fluid Properties'!C10)</f>
        <v>#DIV/0!</v>
      </c>
      <c r="H16" s="8" t="s">
        <v>23</v>
      </c>
    </row>
    <row r="18" spans="2:4" ht="17" thickBot="1" x14ac:dyDescent="0.25"/>
    <row r="19" spans="2:4" x14ac:dyDescent="0.2">
      <c r="B19" s="67" t="s">
        <v>59</v>
      </c>
      <c r="C19" s="68"/>
      <c r="D19" s="69"/>
    </row>
    <row r="20" spans="2:4" x14ac:dyDescent="0.2">
      <c r="B20" s="59" t="s">
        <v>3</v>
      </c>
      <c r="C20" s="16" t="s">
        <v>4</v>
      </c>
      <c r="D20" s="60" t="s">
        <v>5</v>
      </c>
    </row>
    <row r="21" spans="2:4" ht="17" thickBot="1" x14ac:dyDescent="0.25">
      <c r="B21" s="71" t="s">
        <v>60</v>
      </c>
      <c r="C21" s="72" t="e">
        <f>K8+G16-C11</f>
        <v>#DIV/0!</v>
      </c>
      <c r="D21" s="73" t="s">
        <v>23</v>
      </c>
    </row>
  </sheetData>
  <mergeCells count="4">
    <mergeCell ref="B2:D2"/>
    <mergeCell ref="F2:H2"/>
    <mergeCell ref="J2:L2"/>
    <mergeCell ref="B19:D1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FE36-7157-7149-B0A1-7FCE021F84FD}">
  <dimension ref="A1:D11"/>
  <sheetViews>
    <sheetView workbookViewId="0">
      <selection activeCell="F18" sqref="F18"/>
    </sheetView>
  </sheetViews>
  <sheetFormatPr baseColWidth="10" defaultRowHeight="16" x14ac:dyDescent="0.2"/>
  <cols>
    <col min="1" max="1" width="18.33203125" bestFit="1" customWidth="1"/>
    <col min="2" max="2" width="16.83203125" bestFit="1" customWidth="1"/>
  </cols>
  <sheetData>
    <row r="1" spans="1:4" ht="17" thickBot="1" x14ac:dyDescent="0.25"/>
    <row r="2" spans="1:4" x14ac:dyDescent="0.2">
      <c r="B2" s="39" t="s">
        <v>3</v>
      </c>
      <c r="C2" s="40" t="s">
        <v>4</v>
      </c>
      <c r="D2" s="21" t="s">
        <v>5</v>
      </c>
    </row>
    <row r="3" spans="1:4" x14ac:dyDescent="0.2">
      <c r="A3" s="10" t="s">
        <v>75</v>
      </c>
      <c r="B3" s="3" t="s">
        <v>74</v>
      </c>
      <c r="C3" s="4"/>
      <c r="D3" s="61" t="s">
        <v>23</v>
      </c>
    </row>
    <row r="4" spans="1:4" x14ac:dyDescent="0.2">
      <c r="B4" s="3" t="s">
        <v>76</v>
      </c>
      <c r="C4" s="4"/>
      <c r="D4" s="61"/>
    </row>
    <row r="5" spans="1:4" x14ac:dyDescent="0.2">
      <c r="B5" s="3" t="s">
        <v>82</v>
      </c>
      <c r="C5" s="4"/>
      <c r="D5" s="61" t="s">
        <v>23</v>
      </c>
    </row>
    <row r="6" spans="1:4" x14ac:dyDescent="0.2">
      <c r="B6" s="3" t="s">
        <v>95</v>
      </c>
      <c r="C6" s="4"/>
      <c r="D6" s="61" t="s">
        <v>23</v>
      </c>
    </row>
    <row r="7" spans="1:4" x14ac:dyDescent="0.2">
      <c r="B7" s="3" t="s">
        <v>68</v>
      </c>
      <c r="C7" s="9" t="e">
        <f>(('Pump Head'!G13*'Suction Parameters'!C4+(('Pump Head'!G15*'Suction Parameters'!C3)/'Pump Head'!G9))*('Fluid Properties'!C16^2))/(2*'Fluid Properties'!C10)</f>
        <v>#DIV/0!</v>
      </c>
      <c r="D7" s="61" t="s">
        <v>23</v>
      </c>
    </row>
    <row r="8" spans="1:4" x14ac:dyDescent="0.2">
      <c r="B8" s="3" t="s">
        <v>71</v>
      </c>
      <c r="C8" s="9" t="e">
        <f>'Pump Head'!C11-'Suction Parameters'!C7-'Suction Parameters'!C6-'Suction Parameters'!C5-'Pump Head'!K6</f>
        <v>#DIV/0!</v>
      </c>
      <c r="D8" s="61" t="s">
        <v>23</v>
      </c>
    </row>
    <row r="9" spans="1:4" x14ac:dyDescent="0.2">
      <c r="B9" s="3" t="s">
        <v>93</v>
      </c>
      <c r="C9" s="9" t="e">
        <f>'Pump Head'!C11-'Suction Parameters'!C7</f>
        <v>#DIV/0!</v>
      </c>
      <c r="D9" s="61" t="s">
        <v>23</v>
      </c>
    </row>
    <row r="10" spans="1:4" ht="17" thickBot="1" x14ac:dyDescent="0.25">
      <c r="B10" s="71" t="s">
        <v>83</v>
      </c>
      <c r="C10" s="72" t="e">
        <f>(C8*'Fluid Properties'!C12)/2.3</f>
        <v>#DIV/0!</v>
      </c>
      <c r="D10" s="73" t="s">
        <v>81</v>
      </c>
    </row>
    <row r="11" spans="1:4" x14ac:dyDescent="0.2">
      <c r="A11" s="10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11779-397B-B147-B977-DCF3772BE589}">
  <dimension ref="A1:D6"/>
  <sheetViews>
    <sheetView workbookViewId="0">
      <selection activeCell="G16" sqref="G16"/>
    </sheetView>
  </sheetViews>
  <sheetFormatPr baseColWidth="10" defaultRowHeight="16" x14ac:dyDescent="0.2"/>
  <cols>
    <col min="1" max="1" width="16.5" bestFit="1" customWidth="1"/>
    <col min="2" max="2" width="11.6640625" customWidth="1"/>
  </cols>
  <sheetData>
    <row r="1" spans="1:4" ht="17" thickBot="1" x14ac:dyDescent="0.25"/>
    <row r="2" spans="1:4" x14ac:dyDescent="0.2">
      <c r="B2" s="39" t="s">
        <v>3</v>
      </c>
      <c r="C2" s="40" t="s">
        <v>4</v>
      </c>
      <c r="D2" s="21" t="s">
        <v>5</v>
      </c>
    </row>
    <row r="3" spans="1:4" x14ac:dyDescent="0.2">
      <c r="A3" s="10" t="s">
        <v>78</v>
      </c>
      <c r="B3" s="3" t="s">
        <v>77</v>
      </c>
      <c r="C3" s="4"/>
      <c r="D3" s="5" t="s">
        <v>23</v>
      </c>
    </row>
    <row r="4" spans="1:4" x14ac:dyDescent="0.2">
      <c r="B4" s="77" t="s">
        <v>86</v>
      </c>
      <c r="C4" s="78">
        <f>(C3*'Fluid Properties'!C12)/2.3</f>
        <v>0</v>
      </c>
      <c r="D4" s="79" t="s">
        <v>81</v>
      </c>
    </row>
    <row r="5" spans="1:4" x14ac:dyDescent="0.2">
      <c r="A5" s="10" t="s">
        <v>90</v>
      </c>
      <c r="B5" s="3" t="s">
        <v>92</v>
      </c>
      <c r="C5" s="9" t="e">
        <f>'Pump Head'!C11-'Suction Parameters'!C9+'Discharge Analysis'!C3</f>
        <v>#DIV/0!</v>
      </c>
      <c r="D5" s="5" t="s">
        <v>23</v>
      </c>
    </row>
    <row r="6" spans="1:4" ht="17" thickBot="1" x14ac:dyDescent="0.25">
      <c r="A6" s="10" t="s">
        <v>91</v>
      </c>
      <c r="B6" s="6" t="s">
        <v>92</v>
      </c>
      <c r="C6" s="14" t="e">
        <f>C5+'Control Valve Results'!C4</f>
        <v>#DIV/0!</v>
      </c>
      <c r="D6" s="8" t="s">
        <v>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0FC3A-A115-D345-931E-B7168861BACB}">
  <dimension ref="A1:D7"/>
  <sheetViews>
    <sheetView workbookViewId="0">
      <selection activeCell="G7" sqref="G7"/>
    </sheetView>
  </sheetViews>
  <sheetFormatPr baseColWidth="10" defaultRowHeight="16" x14ac:dyDescent="0.2"/>
  <cols>
    <col min="2" max="2" width="12.5" customWidth="1"/>
  </cols>
  <sheetData>
    <row r="1" spans="1:4" ht="17" thickBot="1" x14ac:dyDescent="0.25"/>
    <row r="2" spans="1:4" x14ac:dyDescent="0.2">
      <c r="B2" s="74" t="s">
        <v>87</v>
      </c>
      <c r="C2" s="75"/>
      <c r="D2" s="76"/>
    </row>
    <row r="3" spans="1:4" x14ac:dyDescent="0.2">
      <c r="B3" s="59" t="s">
        <v>3</v>
      </c>
      <c r="C3" s="16" t="s">
        <v>4</v>
      </c>
      <c r="D3" s="60" t="s">
        <v>5</v>
      </c>
    </row>
    <row r="4" spans="1:4" x14ac:dyDescent="0.2">
      <c r="B4" s="3" t="s">
        <v>79</v>
      </c>
      <c r="C4" s="9" t="e">
        <f>'Discharge Analysis'!C3-'Pump Head'!C21</f>
        <v>#DIV/0!</v>
      </c>
      <c r="D4" s="5" t="s">
        <v>23</v>
      </c>
    </row>
    <row r="5" spans="1:4" x14ac:dyDescent="0.2">
      <c r="B5" s="3" t="s">
        <v>88</v>
      </c>
      <c r="C5" s="9" t="e">
        <f>(C4*'Fluid Properties'!C12)/2.3</f>
        <v>#DIV/0!</v>
      </c>
      <c r="D5" s="5" t="s">
        <v>81</v>
      </c>
    </row>
    <row r="6" spans="1:4" ht="17" thickBot="1" x14ac:dyDescent="0.25">
      <c r="B6" s="71" t="s">
        <v>89</v>
      </c>
      <c r="C6" s="72" t="e">
        <f>'Fluid Properties'!C7*SQRT('Fluid Properties'!C12/'Control Valve Results'!C5)</f>
        <v>#DIV/0!</v>
      </c>
      <c r="D6" s="73"/>
    </row>
    <row r="7" spans="1:4" x14ac:dyDescent="0.2">
      <c r="A7" s="10" t="s">
        <v>94</v>
      </c>
      <c r="B7" s="10"/>
    </row>
  </sheetData>
  <mergeCells count="1">
    <mergeCell ref="B2:D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540AF-71C1-5840-8F6F-0A0D4023390E}">
  <dimension ref="B1:J13"/>
  <sheetViews>
    <sheetView workbookViewId="0">
      <selection activeCell="I6" sqref="I6"/>
    </sheetView>
  </sheetViews>
  <sheetFormatPr baseColWidth="10" defaultRowHeight="16" x14ac:dyDescent="0.2"/>
  <cols>
    <col min="6" max="6" width="12.6640625" bestFit="1" customWidth="1"/>
    <col min="7" max="7" width="12.83203125" bestFit="1" customWidth="1"/>
    <col min="9" max="9" width="11.1640625" customWidth="1"/>
  </cols>
  <sheetData>
    <row r="1" spans="2:10" ht="17" thickBot="1" x14ac:dyDescent="0.25"/>
    <row r="2" spans="2:10" ht="17" thickBot="1" x14ac:dyDescent="0.25">
      <c r="B2" s="33" t="s">
        <v>32</v>
      </c>
      <c r="C2" s="34" t="s">
        <v>48</v>
      </c>
      <c r="D2" s="35"/>
      <c r="F2" s="20" t="s">
        <v>32</v>
      </c>
      <c r="G2" s="21" t="s">
        <v>56</v>
      </c>
      <c r="I2" s="70" t="s">
        <v>80</v>
      </c>
      <c r="J2" s="70"/>
    </row>
    <row r="3" spans="2:10" x14ac:dyDescent="0.2">
      <c r="B3" s="36"/>
      <c r="C3" s="17" t="s">
        <v>49</v>
      </c>
      <c r="D3" s="37" t="s">
        <v>50</v>
      </c>
      <c r="F3" s="22">
        <v>1</v>
      </c>
      <c r="G3" s="23">
        <v>0.43</v>
      </c>
      <c r="I3" t="s">
        <v>65</v>
      </c>
      <c r="J3" t="e">
        <f>('Pump Head'!G12)/(3.7*'Pump Head'!G9)</f>
        <v>#DIV/0!</v>
      </c>
    </row>
    <row r="4" spans="2:10" ht="17" thickBot="1" x14ac:dyDescent="0.25">
      <c r="B4" s="26"/>
      <c r="C4" s="18"/>
      <c r="D4" s="27"/>
      <c r="F4" s="22">
        <v>1.25</v>
      </c>
      <c r="G4" s="23">
        <v>0.41</v>
      </c>
      <c r="I4" t="s">
        <v>66</v>
      </c>
      <c r="J4" t="e">
        <f>5.74/('Pump Head'!G11^0.9)</f>
        <v>#DIV/0!</v>
      </c>
    </row>
    <row r="5" spans="2:10" ht="17" thickBot="1" x14ac:dyDescent="0.25">
      <c r="B5" s="28">
        <v>1</v>
      </c>
      <c r="C5" s="19">
        <v>1.32</v>
      </c>
      <c r="D5" s="29">
        <v>0.96</v>
      </c>
      <c r="F5" s="22">
        <v>1.5</v>
      </c>
      <c r="G5" s="23">
        <v>0.4</v>
      </c>
      <c r="I5" t="s">
        <v>67</v>
      </c>
      <c r="J5" t="e">
        <f>0.25/((LOG(J3+J4))^2)</f>
        <v>#DIV/0!</v>
      </c>
    </row>
    <row r="6" spans="2:10" ht="17" thickBot="1" x14ac:dyDescent="0.25">
      <c r="B6" s="28" t="s">
        <v>51</v>
      </c>
      <c r="C6" s="19">
        <v>1.66</v>
      </c>
      <c r="D6" s="29">
        <v>1.28</v>
      </c>
      <c r="F6" s="22">
        <v>2</v>
      </c>
      <c r="G6" s="23">
        <v>0.38</v>
      </c>
    </row>
    <row r="7" spans="2:10" ht="17" thickBot="1" x14ac:dyDescent="0.25">
      <c r="B7" s="28" t="s">
        <v>52</v>
      </c>
      <c r="C7" s="19">
        <v>1.9</v>
      </c>
      <c r="D7" s="29">
        <v>1.5</v>
      </c>
      <c r="F7" s="22">
        <v>2.5</v>
      </c>
      <c r="G7" s="23">
        <v>0.35</v>
      </c>
    </row>
    <row r="8" spans="2:10" ht="17" thickBot="1" x14ac:dyDescent="0.25">
      <c r="B8" s="28">
        <v>2</v>
      </c>
      <c r="C8" s="19">
        <v>2.38</v>
      </c>
      <c r="D8" s="29">
        <v>1.94</v>
      </c>
      <c r="F8" s="22">
        <v>3</v>
      </c>
      <c r="G8" s="23">
        <v>0.34</v>
      </c>
    </row>
    <row r="9" spans="2:10" ht="17" thickBot="1" x14ac:dyDescent="0.25">
      <c r="B9" s="28" t="s">
        <v>53</v>
      </c>
      <c r="C9" s="19">
        <v>2.88</v>
      </c>
      <c r="D9" s="29">
        <v>2.3199999999999998</v>
      </c>
      <c r="F9" s="24">
        <v>4</v>
      </c>
      <c r="G9" s="25">
        <v>0.31</v>
      </c>
    </row>
    <row r="10" spans="2:10" ht="17" thickBot="1" x14ac:dyDescent="0.25">
      <c r="B10" s="28">
        <v>3</v>
      </c>
      <c r="C10" s="19">
        <v>3.5</v>
      </c>
      <c r="D10" s="29">
        <v>2.9</v>
      </c>
      <c r="F10" s="38"/>
      <c r="G10" s="38"/>
    </row>
    <row r="11" spans="2:10" ht="17" thickBot="1" x14ac:dyDescent="0.25">
      <c r="B11" s="28" t="s">
        <v>54</v>
      </c>
      <c r="C11" s="19">
        <v>4</v>
      </c>
      <c r="D11" s="29">
        <v>3.36</v>
      </c>
    </row>
    <row r="12" spans="2:10" ht="17" thickBot="1" x14ac:dyDescent="0.25">
      <c r="B12" s="30">
        <v>4</v>
      </c>
      <c r="C12" s="31">
        <v>4.5</v>
      </c>
      <c r="D12" s="32">
        <v>3.83</v>
      </c>
    </row>
    <row r="13" spans="2:10" x14ac:dyDescent="0.2">
      <c r="B13" s="10" t="s">
        <v>55</v>
      </c>
    </row>
  </sheetData>
  <mergeCells count="4">
    <mergeCell ref="C2:D2"/>
    <mergeCell ref="C3:C4"/>
    <mergeCell ref="D3:D4"/>
    <mergeCell ref="I2:J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Fluid Properties</vt:lpstr>
      <vt:lpstr>Pump Head</vt:lpstr>
      <vt:lpstr>Suction Parameters</vt:lpstr>
      <vt:lpstr>Discharge Analysis</vt:lpstr>
      <vt:lpstr>Control Valve Results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Kensicki</dc:creator>
  <cp:lastModifiedBy>Jay Kensicki</cp:lastModifiedBy>
  <dcterms:created xsi:type="dcterms:W3CDTF">2024-09-03T19:23:19Z</dcterms:created>
  <dcterms:modified xsi:type="dcterms:W3CDTF">2024-09-05T00:27:13Z</dcterms:modified>
</cp:coreProperties>
</file>